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ce26df1d2e86446/Documentos/curso dio excel claude/Dasboard/"/>
    </mc:Choice>
  </mc:AlternateContent>
  <xr:revisionPtr revIDLastSave="1" documentId="13_ncr:1_{3C2F8ED6-40B2-4E08-832A-7140AC03FA60}" xr6:coauthVersionLast="47" xr6:coauthVersionMax="47" xr10:uidLastSave="{C249D199-429A-4120-BC5C-8B7F9D8F3361}"/>
  <bookViews>
    <workbookView xWindow="-16320" yWindow="705" windowWidth="16440" windowHeight="29040" tabRatio="13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3" l="1"/>
  <c r="D2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<sst xmlns="http://schemas.openxmlformats.org/spreadsheetml/2006/main" count="2022" uniqueCount="324">
  <si>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</si>
  <si>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</si>
  <si>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</si>
  <si>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</si>
  <si>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</si>
  <si>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</si>
  <si>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</si>
  <si>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</si>
  <si>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</si>
  <si>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</si>
  <si>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</si>
  <si>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</si>
  <si>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</si>
  <si>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</si>
  <si>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</si>
  <si>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</si>
  <si>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</si>
  <si>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</si>
  <si>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</si>
  <si>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</si>
  <si>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</si>
  <si>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</si>
  <si>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</si>
  <si>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</si>
  <si>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</si>
  <si>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</si>
  <si>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</si>
  <si>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</si>
  <si>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</si>
  <si>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</si>
  <si>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</si>
  <si>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</si>
  <si>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</si>
  <si>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</si>
  <si>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</si>
  <si>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</si>
  <si>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</si>
  <si>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</si>
  <si>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</si>
  <si>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</si>
  <si>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</si>
  <si>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</si>
  <si>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</si>
  <si>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</si>
  <si>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</si>
  <si>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</si>
  <si>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</si>
  <si>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</si>
  <si>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</si>
  <si>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</si>
  <si>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</si>
  <si>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</si>
  <si>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</si>
  <si>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</si>
  <si>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</si>
  <si>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</si>
  <si>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</si>
  <si>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</si>
  <si>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</si>
  <si>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</si>
  <si>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</si>
  <si>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</si>
  <si>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</si>
  <si>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</si>
  <si>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</si>
  <si>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</si>
  <si>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</si>
  <si>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</si>
  <si>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</si>
  <si>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</si>
  <si>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</si>
  <si>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</si>
  <si>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</si>
  <si>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</si>
  <si>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</si>
  <si>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</si>
  <si>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</si>
  <si>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</si>
  <si>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</si>
  <si>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</si>
  <si>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</si>
  <si>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</si>
  <si>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</si>
  <si>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</si>
  <si>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</si>
  <si>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</si>
  <si>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</si>
  <si>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</si>
  <si>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</si>
  <si>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</si>
  <si>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</si>
  <si>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</si>
  <si>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</si>
  <si>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</si>
  <si>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</si>
  <si>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</si>
  <si>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</si>
  <si>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</si>
  <si>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</si>
  <si>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</si>
  <si>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</si>
  <si>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</si>
  <si>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</si>
  <si>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</si>
  <si>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</si>
  <si>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</si>
  <si>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</si>
  <si>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</si>
  <si>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</si>
  <si>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</si>
  <si>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</si>
  <si>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</si>
  <si>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</si>
  <si>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</si>
  <si>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</si>
  <si>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</si>
  <si>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</si>
  <si>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</si>
  <si>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</si>
  <si>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</si>
  <si>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</si>
  <si>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</si>
  <si>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</si>
  <si>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</si>
  <si>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</si>
  <si>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</si>
  <si>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</si>
  <si>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</si>
  <si>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</si>
  <si>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</si>
  <si>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</si>
  <si>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</si>
  <si>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</si>
  <si>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</si>
  <si>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</si>
  <si>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</si>
  <si>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</si>
  <si>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</si>
  <si>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</si>
  <si>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</si>
  <si>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</si>
  <si>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</si>
  <si>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</si>
  <si>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</si>
  <si>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</si>
  <si>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</si>
  <si>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</si>
  <si>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</si>
  <si>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</si>
  <si>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</si>
  <si>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</si>
  <si>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</si>
  <si>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</si>
  <si>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</si>
  <si>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</si>
  <si>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</si>
  <si>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</si>
  <si>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</si>
  <si>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</si>
  <si>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</si>
  <si>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</si>
  <si>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</si>
  <si>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</si>
  <si>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</si>
  <si>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</si>
  <si>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</si>
  <si>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</si>
  <si>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</si>
  <si>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</si>
  <si>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</si>
  <si>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</si>
  <si>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</si>
  <si>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</si>
  <si>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</si>
  <si>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</si>
  <si>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</si>
  <si>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</si>
  <si>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</si>
  <si>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</si>
  <si>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</si>
  <si>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</si>
  <si>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</si>
  <si>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</si>
  <si>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</si>
  <si>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</si>
  <si>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</si>
  <si>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</si>
  <si>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</si>
  <si>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</si>
  <si>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</si>
  <si>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</si>
  <si>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</si>
  <si>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</si>
  <si>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</si>
  <si>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</si>
  <si>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</si>
  <si>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</si>
  <si>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</si>
  <si>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</si>
  <si>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</si>
  <si>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</si>
  <si>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</si>
  <si>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</si>
  <si>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</si>
  <si>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</si>
  <si>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</si>
  <si>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</si>
  <si>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</si>
  <si>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</si>
  <si>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</si>
  <si>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</si>
  <si>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</si>
  <si>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</si>
  <si>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</si>
  <si>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</si>
  <si>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</si>
  <si>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</si>
  <si>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</si>
  <si>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</si>
  <si>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</si>
  <si>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</si>
  <si>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</si>
  <si>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</si>
  <si>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</si>
  <si>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</si>
  <si>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</si>
  <si>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</si>
  <si>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</si>
  <si>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</si>
  <si>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</si>
  <si>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</si>
  <si>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</si>
  <si>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</si>
  <si>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</si>
  <si>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</si>
  <si>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</si>
  <si>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</si>
  <si>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</si>
  <si>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</si>
  <si>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</si>
  <si>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</si>
  <si>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</si>
  <si>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</si>
  <si>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</si>
  <si>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</si>
  <si>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</si>
  <si>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</si>
  <si>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</si>
  <si>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</si>
  <si>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</si>
  <si>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</si>
  <si>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</si>
  <si>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</si>
  <si>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</si>
  <si>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</si>
  <si>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</si>
  <si>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</si>
  <si>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</si>
  <si>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</si>
  <si>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</si>
  <si>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</si>
  <si>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</si>
  <si>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</si>
  <si>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</si>
  <si>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</si>
  <si>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</si>
  <si>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</si>
  <si>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</si>
  <si>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</si>
  <si>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</si>
  <si>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</si>
  <si>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</si>
  <si>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</si>
  <si>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</si>
  <si>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</si>
  <si>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</si>
  <si>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</si>
  <si>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</si>
  <si>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</si>
  <si>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</si>
  <si>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</si>
  <si>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</si>
  <si>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</si>
  <si>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</si>
  <si>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</si>
  <si>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</si>
  <si>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</si>
  <si>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</si>
  <si>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</si>
  <si>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</si>
  <si>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</si>
  <si>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</si>
  <si>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</si>
  <si>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</si>
  <si>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</si>
  <si>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</si>
  <si>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</si>
  <si>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</si>
  <si>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</si>
  <si>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</si>
  <si>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</si>
  <si>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</si>
  <si>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</si>
  <si>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</si>
  <si>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</si>
  <si>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</si>
  <si>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</si>
  <si>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</si>
  <si>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</si>
  <si>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</si>
  <si>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</si>
  <si>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</si>
  <si>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</si>
  <si>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</si>
  <si>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</si>
  <si>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</si>
  <si>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</si>
  <si>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t>Pergunta de Negócio 1 - Qual faturamento Total de vendas de planos anuais (contendo todas as assinaturas agregadas)</t>
  </si>
  <si>
    <t>XBOX GAME PASS SUBSCRIPTIONS SALES</t>
  </si>
  <si>
    <t>Soma de EA Play Season Pass</t>
  </si>
  <si>
    <t>Soma de Minecraft Season Pass Price</t>
  </si>
  <si>
    <t>Pergunta Negócio 4 - Total de Vendas de Assinaturas do Minecraft Season Pass</t>
  </si>
  <si>
    <t>&gt;Bem Vindo, Pedro</t>
  </si>
  <si>
    <t>Calculation period: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</si>
</sst>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u/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sz val="11"/>
      <color theme="1" tint="0.3499862666707357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 applyAlignment="1">
      <alignment horizontal="center"/>
    </xf>
    <xf numFmtId="0" fontId="0" fillId="0" borderId="0" xfId="0" applyNumberFormat="1"/>
    <xf numFmtId="165" fontId="0" fillId="0" borderId="0" xfId="0" applyNumberFormat="1"/>
    <xf numFmtId="0" fontId="7" fillId="0" borderId="0" xfId="0" applyFont="1"/>
    <xf numFmtId="0" fontId="6" fillId="0" borderId="2" xfId="1" applyFont="1" applyBorder="1"/>
    <xf numFmtId="0" fontId="5" fillId="0" borderId="2" xfId="1" applyFont="1" applyBorder="1"/>
    <xf numFmtId="0" fontId="0" fillId="0" borderId="2" xfId="0" applyBorder="1"/>
    <xf numFmtId="0" fontId="6" fillId="0" borderId="2" xfId="1" applyFont="1" applyBorder="1" applyAlignment="1">
      <alignment horizontal="left" indent="5"/>
    </xf>
    <xf numFmtId="0" fontId="8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vertic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A65DACF8-A636-4B32-9F90-8D223B145021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de Dados.xlsx]C̳álculos!Tabela dinâmica1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474521940417674E-2"/>
          <c:y val="0.16101633129192183"/>
          <c:w val="0.91585260033720828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2-40C1-89C0-6CA708B14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1430320"/>
        <c:axId val="671428880"/>
      </c:barChart>
      <c:catAx>
        <c:axId val="67143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428880"/>
        <c:crosses val="autoZero"/>
        <c:auto val="1"/>
        <c:lblAlgn val="ctr"/>
        <c:lblOffset val="100"/>
        <c:noMultiLvlLbl val="0"/>
      </c:catAx>
      <c:valAx>
        <c:axId val="67142888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7143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 prstMaterial="matte">
      <a:bevelT w="63500" h="63500" prst="artDeco"/>
      <a:contourClr>
        <a:srgbClr val="000000"/>
      </a:contourClr>
    </a:sp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15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1869281</xdr:colOff>
      <xdr:row>0</xdr:row>
      <xdr:rowOff>47624</xdr:rowOff>
    </xdr:from>
    <xdr:to>
      <xdr:col>2</xdr:col>
      <xdr:colOff>392905</xdr:colOff>
      <xdr:row>2</xdr:row>
      <xdr:rowOff>154781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7215963-5D1C-4665-8634-59633F17E2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20966" r="71122" b="19633"/>
        <a:stretch>
          <a:fillRect/>
        </a:stretch>
      </xdr:blipFill>
      <xdr:spPr>
        <a:xfrm>
          <a:off x="1869281" y="47624"/>
          <a:ext cx="642937" cy="607220"/>
        </a:xfrm>
        <a:prstGeom prst="rect">
          <a:avLst/>
        </a:prstGeom>
      </xdr:spPr>
    </xdr:pic>
    <xdr:clientData/>
  </xdr:twoCellAnchor>
  <xdr:twoCellAnchor>
    <xdr:from>
      <xdr:col>1</xdr:col>
      <xdr:colOff>119061</xdr:colOff>
      <xdr:row>17</xdr:row>
      <xdr:rowOff>142875</xdr:rowOff>
    </xdr:from>
    <xdr:to>
      <xdr:col>18</xdr:col>
      <xdr:colOff>250031</xdr:colOff>
      <xdr:row>32</xdr:row>
      <xdr:rowOff>11906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743699-D882-4B2C-90AA-171E2FC60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</xdr:row>
      <xdr:rowOff>35719</xdr:rowOff>
    </xdr:from>
    <xdr:to>
      <xdr:col>0</xdr:col>
      <xdr:colOff>1828800</xdr:colOff>
      <xdr:row>19</xdr:row>
      <xdr:rowOff>130969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646857E-4320-4DED-80C4-336367F1F4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763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142875</xdr:colOff>
      <xdr:row>4</xdr:row>
      <xdr:rowOff>183356</xdr:rowOff>
    </xdr:from>
    <xdr:to>
      <xdr:col>9</xdr:col>
      <xdr:colOff>428625</xdr:colOff>
      <xdr:row>13</xdr:row>
      <xdr:rowOff>64294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91F973CB-5CCE-01D1-B8E3-4CE706CD414D}"/>
            </a:ext>
          </a:extLst>
        </xdr:cNvPr>
        <xdr:cNvGrpSpPr/>
      </xdr:nvGrpSpPr>
      <xdr:grpSpPr>
        <a:xfrm>
          <a:off x="2024063" y="1207294"/>
          <a:ext cx="4774406" cy="1726406"/>
          <a:chOff x="2024062" y="1178719"/>
          <a:chExt cx="4381501" cy="1726406"/>
        </a:xfrm>
      </xdr:grpSpPr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D7D24829-2D42-8DD6-4FB8-3EF437395580}"/>
              </a:ext>
            </a:extLst>
          </xdr:cNvPr>
          <xdr:cNvSpPr/>
        </xdr:nvSpPr>
        <xdr:spPr>
          <a:xfrm>
            <a:off x="2024063" y="1214438"/>
            <a:ext cx="4381500" cy="169068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6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3FE4FB09-58BC-2FC0-21F3-C2EFEB0EAAFE}"/>
              </a:ext>
            </a:extLst>
          </xdr:cNvPr>
          <xdr:cNvSpPr/>
        </xdr:nvSpPr>
        <xdr:spPr>
          <a:xfrm>
            <a:off x="3396947" y="1782366"/>
            <a:ext cx="2790255" cy="869157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30DD5DD-47C8-47C9-9F5A-97BC9680E7E0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en-US" sz="1100">
              <a:solidFill>
                <a:srgbClr val="22C55E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06BF4B28-0522-4CE7-B958-CDF1E0C2A6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37879" y="1524000"/>
            <a:ext cx="1361252" cy="1361252"/>
          </a:xfrm>
          <a:prstGeom prst="rect">
            <a:avLst/>
          </a:prstGeom>
        </xdr:spPr>
      </xdr:pic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DB0EBE0A-252D-5114-C27C-1D46F2645A8B}"/>
              </a:ext>
            </a:extLst>
          </xdr:cNvPr>
          <xdr:cNvSpPr/>
        </xdr:nvSpPr>
        <xdr:spPr>
          <a:xfrm>
            <a:off x="2024062" y="1178719"/>
            <a:ext cx="4381500" cy="547687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10</xdr:col>
      <xdr:colOff>223837</xdr:colOff>
      <xdr:row>4</xdr:row>
      <xdr:rowOff>183356</xdr:rowOff>
    </xdr:from>
    <xdr:to>
      <xdr:col>18</xdr:col>
      <xdr:colOff>307181</xdr:colOff>
      <xdr:row>13</xdr:row>
      <xdr:rowOff>64294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7795A570-FCF0-0E96-42EE-2BF44587F535}"/>
            </a:ext>
          </a:extLst>
        </xdr:cNvPr>
        <xdr:cNvGrpSpPr/>
      </xdr:nvGrpSpPr>
      <xdr:grpSpPr>
        <a:xfrm>
          <a:off x="7200900" y="1207294"/>
          <a:ext cx="4774406" cy="1726406"/>
          <a:chOff x="7200900" y="1235869"/>
          <a:chExt cx="4774406" cy="1726406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A07C354A-2F85-49CF-BDD5-9ACC2C1E339B}"/>
              </a:ext>
            </a:extLst>
          </xdr:cNvPr>
          <xdr:cNvGrpSpPr/>
        </xdr:nvGrpSpPr>
        <xdr:grpSpPr>
          <a:xfrm>
            <a:off x="7200900" y="1235869"/>
            <a:ext cx="4774406" cy="1726406"/>
            <a:chOff x="2024062" y="1178719"/>
            <a:chExt cx="4381501" cy="1726406"/>
          </a:xfrm>
        </xdr:grpSpPr>
        <xdr:sp macro="" textlink="">
          <xdr:nvSpPr>
            <xdr:cNvPr id="14" name="Retângulo 13">
              <a:extLst>
                <a:ext uri="{FF2B5EF4-FFF2-40B4-BE49-F238E27FC236}">
                  <a16:creationId xmlns:a16="http://schemas.microsoft.com/office/drawing/2014/main" id="{D1EBA7E7-85EA-7BC5-C413-A5A4DD20D798}"/>
                </a:ext>
              </a:extLst>
            </xdr:cNvPr>
            <xdr:cNvSpPr/>
          </xdr:nvSpPr>
          <xdr:spPr>
            <a:xfrm>
              <a:off x="2024063" y="1214438"/>
              <a:ext cx="4381500" cy="1690687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41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BF314B68-E7AB-3C81-176F-275089B0406B}"/>
                </a:ext>
              </a:extLst>
            </xdr:cNvPr>
            <xdr:cNvSpPr/>
          </xdr:nvSpPr>
          <xdr:spPr>
            <a:xfrm>
              <a:off x="3555949" y="1829992"/>
              <a:ext cx="2598474" cy="839390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216C2DC-529B-42DD-8703-28DCE514E654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t>R$ 940,00</a:t>
              </a:fld>
              <a:endParaRPr lang="en-US" sz="40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7" name="Retângulo 16">
              <a:extLst>
                <a:ext uri="{FF2B5EF4-FFF2-40B4-BE49-F238E27FC236}">
                  <a16:creationId xmlns:a16="http://schemas.microsoft.com/office/drawing/2014/main" id="{577FE47E-8FF1-A824-B3B4-1D94CD965717}"/>
                </a:ext>
              </a:extLst>
            </xdr:cNvPr>
            <xdr:cNvSpPr/>
          </xdr:nvSpPr>
          <xdr:spPr>
            <a:xfrm>
              <a:off x="2024062" y="1178719"/>
              <a:ext cx="4381500" cy="547687"/>
            </a:xfrm>
            <a:prstGeom prst="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 PASS</a:t>
              </a: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39F5DAE4-B538-4390-89E3-A0A5EF1AD92E}"/>
              </a:ext>
            </a:extLst>
          </xdr:cNvPr>
          <xdr:cNvGrpSpPr/>
        </xdr:nvGrpSpPr>
        <xdr:grpSpPr>
          <a:xfrm>
            <a:off x="7439024" y="1854994"/>
            <a:ext cx="1312069" cy="728662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B1B79501-3966-13CF-221A-D2BA451073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27C98429-C747-5AB2-E257-A00C367E61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154782</xdr:colOff>
      <xdr:row>15</xdr:row>
      <xdr:rowOff>119061</xdr:rowOff>
    </xdr:from>
    <xdr:to>
      <xdr:col>18</xdr:col>
      <xdr:colOff>238125</xdr:colOff>
      <xdr:row>18</xdr:row>
      <xdr:rowOff>71436</xdr:rowOff>
    </xdr:to>
    <xdr:sp macro="" textlink="">
      <xdr:nvSpPr>
        <xdr:cNvPr id="22" name="Retângulo: Cantos Superiores Arredondados 21">
          <a:extLst>
            <a:ext uri="{FF2B5EF4-FFF2-40B4-BE49-F238E27FC236}">
              <a16:creationId xmlns:a16="http://schemas.microsoft.com/office/drawing/2014/main" id="{9ED40AEE-5EB2-4AD1-8153-E3CA00511CA2}"/>
            </a:ext>
          </a:extLst>
        </xdr:cNvPr>
        <xdr:cNvSpPr/>
      </xdr:nvSpPr>
      <xdr:spPr>
        <a:xfrm>
          <a:off x="2035970" y="3405186"/>
          <a:ext cx="9870280" cy="52387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TOTAL SUBSCRIPTIONS XBOX GAME PASS</a:t>
          </a:r>
        </a:p>
      </xdr:txBody>
    </xdr:sp>
    <xdr:clientData/>
  </xdr:twoCellAnchor>
  <xdr:twoCellAnchor>
    <xdr:from>
      <xdr:col>0</xdr:col>
      <xdr:colOff>559594</xdr:colOff>
      <xdr:row>1</xdr:row>
      <xdr:rowOff>23813</xdr:rowOff>
    </xdr:from>
    <xdr:to>
      <xdr:col>0</xdr:col>
      <xdr:colOff>1254919</xdr:colOff>
      <xdr:row>3</xdr:row>
      <xdr:rowOff>207169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BC05CE39-AB1F-4AAA-9D5C-65ABF1D7FBB6}"/>
            </a:ext>
          </a:extLst>
        </xdr:cNvPr>
        <xdr:cNvSpPr/>
      </xdr:nvSpPr>
      <xdr:spPr>
        <a:xfrm>
          <a:off x="559594" y="214313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Charles" refreshedDate="46313.540020486114" createdVersion="8" refreshedVersion="8" minRefreshableVersion="3" recordCount="295" xr:uid="{8B0F69E4-8094-4DE8-B35B-DEB0A395E7B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076338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64B5E-A305-44F2-A0B7-E7959917122C}" name="Tabela dinâ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4:C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66E30-866F-4455-A46B-0EC818C937BB}" name="tbl_easeasonpass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F9043-9EFC-4320-83E9-C8407B51E6A2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25DD10D-C62E-4350-B192-2D6663DC2E47}" sourceName="Subscription Type">
  <pivotTables>
    <pivotTable tabId="3" name="Tabela dinâmica1"/>
    <pivotTable tabId="3" name="tbl_easeasonpass_total"/>
    <pivotTable tabId="3" name="Tabela dinâmica4"/>
  </pivotTables>
  <data>
    <tabular pivotCacheId="30763387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DE31DD2-F7A9-4EC0-A42D-FA457A4D24E2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A25" sqref="A2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A25" sqref="A2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41"/>
  <sheetViews>
    <sheetView showGridLines="0" workbookViewId="0">
      <selection activeCell="A25" sqref="A25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5" t="s">
        <v>316</v>
      </c>
      <c r="C3" s="15"/>
      <c r="D3" s="15"/>
      <c r="E3" s="15"/>
      <c r="F3" s="15"/>
    </row>
    <row r="5" spans="2:6" x14ac:dyDescent="0.25">
      <c r="B5" t="s">
        <v>317</v>
      </c>
    </row>
    <row r="6" spans="2:6" x14ac:dyDescent="0.25">
      <c r="B6" s="12" t="s">
        <v>16</v>
      </c>
      <c r="C6" t="s">
        <v>24</v>
      </c>
    </row>
    <row r="8" spans="2:6" x14ac:dyDescent="0.25">
      <c r="B8" s="12" t="s">
        <v>313</v>
      </c>
      <c r="C8" t="s">
        <v>315</v>
      </c>
    </row>
    <row r="9" spans="2:6" x14ac:dyDescent="0.25">
      <c r="B9" s="13" t="s">
        <v>23</v>
      </c>
      <c r="C9" s="14">
        <v>217</v>
      </c>
    </row>
    <row r="10" spans="2:6" x14ac:dyDescent="0.25">
      <c r="B10" s="13" t="s">
        <v>19</v>
      </c>
      <c r="C10" s="14">
        <v>1537</v>
      </c>
    </row>
    <row r="11" spans="2:6" x14ac:dyDescent="0.25">
      <c r="B11" s="13" t="s">
        <v>314</v>
      </c>
      <c r="C11" s="14">
        <v>1754</v>
      </c>
    </row>
    <row r="15" spans="2:6" x14ac:dyDescent="0.25">
      <c r="B15" s="12" t="s">
        <v>16</v>
      </c>
      <c r="C15" t="s">
        <v>24</v>
      </c>
    </row>
    <row r="17" spans="2:4" x14ac:dyDescent="0.25">
      <c r="B17" s="12" t="s">
        <v>313</v>
      </c>
      <c r="C17" t="s">
        <v>319</v>
      </c>
    </row>
    <row r="18" spans="2:4" x14ac:dyDescent="0.25">
      <c r="B18" s="13" t="s">
        <v>22</v>
      </c>
      <c r="C18" s="16">
        <v>0</v>
      </c>
    </row>
    <row r="19" spans="2:4" x14ac:dyDescent="0.25">
      <c r="B19" s="13" t="s">
        <v>26</v>
      </c>
      <c r="C19" s="16">
        <v>0</v>
      </c>
      <c r="D19" s="18"/>
    </row>
    <row r="20" spans="2:4" x14ac:dyDescent="0.25">
      <c r="B20" s="13" t="s">
        <v>18</v>
      </c>
      <c r="C20" s="16">
        <v>600</v>
      </c>
    </row>
    <row r="21" spans="2:4" x14ac:dyDescent="0.25">
      <c r="B21" s="13" t="s">
        <v>314</v>
      </c>
      <c r="C21" s="16">
        <v>600</v>
      </c>
    </row>
    <row r="26" spans="2:4" x14ac:dyDescent="0.25">
      <c r="D26" s="17">
        <f>GETPIVOTDATA("EA Play Season Pass
Price",$B$17)</f>
        <v>600</v>
      </c>
    </row>
    <row r="29" spans="2:4" x14ac:dyDescent="0.25">
      <c r="B29" t="s">
        <v>321</v>
      </c>
    </row>
    <row r="32" spans="2:4" x14ac:dyDescent="0.25">
      <c r="B32" s="12" t="s">
        <v>16</v>
      </c>
      <c r="C32" t="s">
        <v>24</v>
      </c>
    </row>
    <row r="34" spans="2:4" x14ac:dyDescent="0.25">
      <c r="B34" s="12" t="s">
        <v>313</v>
      </c>
      <c r="C34" t="s">
        <v>320</v>
      </c>
    </row>
    <row r="35" spans="2:4" x14ac:dyDescent="0.25">
      <c r="B35" s="13" t="s">
        <v>22</v>
      </c>
      <c r="C35" s="14">
        <v>0</v>
      </c>
    </row>
    <row r="36" spans="2:4" x14ac:dyDescent="0.25">
      <c r="B36" s="13" t="s">
        <v>26</v>
      </c>
      <c r="C36" s="14">
        <v>540</v>
      </c>
    </row>
    <row r="37" spans="2:4" x14ac:dyDescent="0.25">
      <c r="B37" s="13" t="s">
        <v>18</v>
      </c>
      <c r="C37" s="14">
        <v>400</v>
      </c>
    </row>
    <row r="38" spans="2:4" x14ac:dyDescent="0.25">
      <c r="B38" s="13" t="s">
        <v>314</v>
      </c>
      <c r="C38" s="14">
        <v>940</v>
      </c>
    </row>
    <row r="41" spans="2:4" x14ac:dyDescent="0.25">
      <c r="D41" s="17">
        <f>GETPIVOTDATA("Minecraft Season Pass Price",$B$34)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222"/>
  <sheetViews>
    <sheetView showGridLines="0" showRowColHeaders="0" tabSelected="1" zoomScale="80" zoomScaleNormal="80" workbookViewId="0">
      <selection activeCell="L44" sqref="L44"/>
    </sheetView>
  </sheetViews>
  <sheetFormatPr defaultRowHeight="15" x14ac:dyDescent="0.25"/>
  <cols>
    <col min="1" max="1" width="28.28515625" style="4" customWidth="1"/>
    <col min="2" max="2" width="3.5703125" customWidth="1"/>
    <col min="12" max="12" width="6.5703125" customWidth="1"/>
  </cols>
  <sheetData>
    <row r="2" spans="1:19" ht="24.75" thickBot="1" x14ac:dyDescent="0.5">
      <c r="C2" s="22" t="s">
        <v>318</v>
      </c>
      <c r="D2" s="19"/>
      <c r="E2" s="19"/>
      <c r="F2" s="19"/>
      <c r="G2" s="19"/>
      <c r="H2" s="19"/>
      <c r="I2" s="19"/>
      <c r="J2" s="20"/>
      <c r="K2" s="20"/>
      <c r="L2" s="20"/>
      <c r="M2" s="20"/>
      <c r="N2" s="20"/>
      <c r="O2" s="20"/>
      <c r="P2" s="20"/>
      <c r="Q2" s="21"/>
      <c r="R2" s="21"/>
      <c r="S2" s="21"/>
    </row>
    <row r="3" spans="1:19" ht="15.75" thickTop="1" x14ac:dyDescent="0.25"/>
    <row r="4" spans="1:19" s="7" customFormat="1" ht="25.5" customHeight="1" x14ac:dyDescent="0.25">
      <c r="A4" s="4"/>
      <c r="C4" s="24" t="s">
        <v>323</v>
      </c>
    </row>
    <row r="5" spans="1:19" s="7" customFormat="1" ht="25.5" customHeight="1" x14ac:dyDescent="0.25">
      <c r="A5" s="23" t="s">
        <v>322</v>
      </c>
    </row>
    <row r="6" spans="1:19" s="7" customFormat="1" ht="7.5" customHeight="1" x14ac:dyDescent="0.25">
      <c r="A6" s="4"/>
    </row>
    <row r="7" spans="1:19" s="7" customFormat="1" ht="10.5" customHeight="1" x14ac:dyDescent="0.25">
      <c r="A7" s="4"/>
    </row>
    <row r="8" spans="1:19" s="7" customFormat="1" ht="9.75" customHeight="1" x14ac:dyDescent="0.25">
      <c r="A8" s="4"/>
    </row>
    <row r="9" spans="1:19" s="7" customFormat="1" ht="33" customHeigh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Anthony Charles</cp:lastModifiedBy>
  <dcterms:created xsi:type="dcterms:W3CDTF">2024-12-19T13:13:10Z</dcterms:created>
  <dcterms:modified xsi:type="dcterms:W3CDTF">2026-10-18T19:22:03Z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